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Job" sheetId="1" state="visible" r:id="rId1"/>
    <sheet name="Pricing" sheetId="2" state="visible" r:id="rId2"/>
    <sheet name="GrossMargin" sheetId="3" state="visible" r:id="rId3"/>
    <sheet name="Breakeven" sheetId="4" state="visible" r:id="rId4"/>
    <sheet name="Contai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FF0000"/>
    </font>
    <font>
      <b val="1"/>
      <color rgb="00006600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F00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2" customWidth="1" min="4" max="4"/>
    <col width="25" customWidth="1" min="5" max="5"/>
  </cols>
  <sheetData>
    <row r="1">
      <c r="A1" s="1" t="inlineStr">
        <is>
          <t>COST/JOB ANALYSIS</t>
        </is>
      </c>
    </row>
    <row r="3">
      <c r="A3" s="2" t="inlineStr">
        <is>
          <t>Component</t>
        </is>
      </c>
      <c r="B3" s="2" t="inlineStr">
        <is>
          <t>Monthly Cost</t>
        </is>
      </c>
      <c r="C3" s="2" t="inlineStr">
        <is>
          <t>Jobs/Month (Completed)</t>
        </is>
      </c>
      <c r="D3" s="2" t="inlineStr">
        <is>
          <t>Cost/Job</t>
        </is>
      </c>
      <c r="E3" s="2" t="inlineStr">
        <is>
          <t>Notes</t>
        </is>
      </c>
    </row>
    <row r="4">
      <c r="A4" t="inlineStr">
        <is>
          <t>API (LLM)</t>
        </is>
      </c>
      <c r="B4" t="n">
        <v>800</v>
      </c>
      <c r="C4" t="n">
        <v>380</v>
      </c>
      <c r="D4">
        <f>B4/D4</f>
        <v/>
      </c>
      <c r="E4" t="inlineStr">
        <is>
          <t>Claude 3.5 Sonnet</t>
        </is>
      </c>
    </row>
    <row r="5">
      <c r="A5" t="inlineStr">
        <is>
          <t>Infra</t>
        </is>
      </c>
      <c r="B5" t="n">
        <v>200</v>
      </c>
      <c r="C5" t="n">
        <v>380</v>
      </c>
      <c r="D5">
        <f>B5/D5</f>
        <v/>
      </c>
      <c r="E5" t="inlineStr">
        <is>
          <t>2x t4g.medium + S3</t>
        </is>
      </c>
    </row>
    <row r="6">
      <c r="A6" t="inlineStr">
        <is>
          <t>HITL</t>
        </is>
      </c>
      <c r="B6" t="n">
        <v>0</v>
      </c>
      <c r="C6" t="n">
        <v>380</v>
      </c>
      <c r="D6">
        <f>B6/D6</f>
        <v/>
      </c>
      <c r="E6" t="inlineStr">
        <is>
          <t>Customer self-escalate</t>
        </is>
      </c>
    </row>
    <row r="7">
      <c r="A7" t="inlineStr">
        <is>
          <t>Retry (10%)</t>
        </is>
      </c>
      <c r="B7" t="n">
        <v>80</v>
      </c>
      <c r="C7" t="n">
        <v>380</v>
      </c>
      <c r="D7">
        <f>B7/D7</f>
        <v/>
      </c>
      <c r="E7" t="inlineStr">
        <is>
          <t>Est: 5% timeout + 5% retry</t>
        </is>
      </c>
    </row>
    <row r="8">
      <c r="A8" t="inlineStr">
        <is>
          <t>Overhead (DevOps)</t>
        </is>
      </c>
      <c r="B8" t="n">
        <v>150</v>
      </c>
      <c r="C8" t="n">
        <v>380</v>
      </c>
      <c r="D8">
        <f>B8/D8</f>
        <v/>
      </c>
      <c r="E8" t="inlineStr">
        <is>
          <t>20% of infra</t>
        </is>
      </c>
    </row>
    <row r="10">
      <c r="A10" s="3" t="inlineStr">
        <is>
          <t>TOTAL COST/JOB</t>
        </is>
      </c>
      <c r="D10" s="3">
        <f>SUM(D4:D8)</f>
        <v/>
      </c>
    </row>
    <row r="11">
      <c r="A11" t="inlineStr">
        <is>
          <t>Jobs Attempted</t>
        </is>
      </c>
      <c r="B11" t="n">
        <v>500</v>
      </c>
    </row>
    <row r="12">
      <c r="A12" t="inlineStr">
        <is>
          <t>Jobs Completed</t>
        </is>
      </c>
      <c r="B12" t="n">
        <v>380</v>
      </c>
    </row>
    <row r="13">
      <c r="A13" t="inlineStr">
        <is>
          <t>Success Rate</t>
        </is>
      </c>
      <c r="B13" s="4">
        <f>B12/B11</f>
        <v/>
      </c>
    </row>
    <row r="15">
      <c r="A15" s="5" t="inlineStr">
        <is>
          <t>CRITICAL: Divide by COMPLETED jobs (380), not attempted (500)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PRICING STRUCTURE</t>
        </is>
      </c>
    </row>
    <row r="2">
      <c r="A2" t="inlineStr"/>
      <c r="B2" t="inlineStr"/>
      <c r="C2" t="inlineStr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SOURCE</t>
        </is>
      </c>
    </row>
    <row r="4">
      <c r="A4" t="inlineStr">
        <is>
          <t>Cost/Job</t>
        </is>
      </c>
      <c r="B4" t="n">
        <v>3.24</v>
      </c>
      <c r="C4" t="inlineStr">
        <is>
          <t>From CostJob tab</t>
        </is>
      </c>
    </row>
    <row r="5">
      <c r="A5" t="inlineStr">
        <is>
          <t>Price Floor (3x Cost)</t>
        </is>
      </c>
      <c r="B5" t="n">
        <v>9.720000000000001</v>
      </c>
      <c r="C5">
        <f>3 x Cost/Job</f>
        <v/>
      </c>
    </row>
    <row r="6">
      <c r="A6" t="inlineStr">
        <is>
          <t>Price Ceiling</t>
        </is>
      </c>
      <c r="B6" t="n">
        <v>45</v>
      </c>
      <c r="C6" t="inlineStr">
        <is>
          <t>Based on reviewer salary savings</t>
        </is>
      </c>
    </row>
    <row r="7">
      <c r="A7" t="inlineStr">
        <is>
          <t>Benchmark 1</t>
        </is>
      </c>
      <c r="B7" t="inlineStr">
        <is>
          <t>CodeRabbit</t>
        </is>
      </c>
      <c r="C7" t="inlineStr">
        <is>
          <t>$12/seat/month</t>
        </is>
      </c>
    </row>
    <row r="8">
      <c r="A8" t="inlineStr">
        <is>
          <t>Benchmark 2</t>
        </is>
      </c>
      <c r="B8" t="inlineStr">
        <is>
          <t>Graphite.dev</t>
        </is>
      </c>
      <c r="C8" t="inlineStr">
        <is>
          <t>$10-15/seat/month</t>
        </is>
      </c>
    </row>
    <row r="9">
      <c r="A9" t="inlineStr">
        <is>
          <t>PRICE PROPOSED</t>
        </is>
      </c>
      <c r="B9" t="n">
        <v>12</v>
      </c>
      <c r="C9" t="inlineStr">
        <is>
          <t>SEAT-BASED + USAGE</t>
        </is>
      </c>
    </row>
    <row r="10">
      <c r="A10" t="inlineStr"/>
      <c r="B10" t="inlineStr"/>
      <c r="C10" t="inlineStr"/>
    </row>
    <row r="11">
      <c r="A11" t="inlineStr">
        <is>
          <t>Value Metric</t>
        </is>
      </c>
      <c r="B11" t="inlineStr">
        <is>
          <t>HYBRID</t>
        </is>
      </c>
      <c r="C11" t="inlineStr">
        <is>
          <t>$12/seat + $0.50/PR</t>
        </is>
      </c>
    </row>
    <row r="12">
      <c r="A12" t="inlineStr">
        <is>
          <t>Seat-based component</t>
        </is>
      </c>
      <c r="B12" t="n">
        <v>12</v>
      </c>
      <c r="C12" t="inlineStr">
        <is>
          <t>per seat/month</t>
        </is>
      </c>
    </row>
    <row r="13">
      <c r="A13" t="inlineStr">
        <is>
          <t>Usage component</t>
        </is>
      </c>
      <c r="B13" t="n">
        <v>0.5</v>
      </c>
      <c r="C13" t="inlineStr">
        <is>
          <t>per PR reviewed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0" customWidth="1" min="4" max="4"/>
    <col width="15" customWidth="1" min="5" max="5"/>
  </cols>
  <sheetData>
    <row r="1">
      <c r="A1" s="1" t="inlineStr">
        <is>
          <t>GROSS MARGIN ANALYSIS</t>
        </is>
      </c>
    </row>
    <row r="2">
      <c r="A2" t="inlineStr">
        <is>
          <t>Price Point</t>
        </is>
      </c>
      <c r="B2" t="inlineStr">
        <is>
          <t>Cost/Job</t>
        </is>
      </c>
      <c r="C2" t="inlineStr">
        <is>
          <t>Gross Margin</t>
        </is>
      </c>
      <c r="D2" t="inlineStr">
        <is>
          <t>GM %</t>
        </is>
      </c>
      <c r="E2" t="inlineStr">
        <is>
          <t>Status</t>
        </is>
      </c>
    </row>
    <row r="3">
      <c r="A3" s="2" t="n">
        <v>9.720000000000001</v>
      </c>
      <c r="B3" s="2" t="n">
        <v>3.24</v>
      </c>
      <c r="C3" s="2">
        <f>A3-B3</f>
        <v/>
      </c>
      <c r="D3" s="2">
        <f>C3/A3</f>
        <v/>
      </c>
      <c r="E3" s="2" t="inlineStr">
        <is>
          <t>Floor Price</t>
        </is>
      </c>
    </row>
    <row r="4">
      <c r="A4" t="n">
        <v>12</v>
      </c>
      <c r="B4" t="n">
        <v>3.24</v>
      </c>
      <c r="C4">
        <f>A4-B4</f>
        <v/>
      </c>
      <c r="D4">
        <f>C4/A4</f>
        <v/>
      </c>
      <c r="E4" t="inlineStr">
        <is>
          <t>Proposed</t>
        </is>
      </c>
    </row>
    <row r="5">
      <c r="A5" t="n">
        <v>15</v>
      </c>
      <c r="B5" t="n">
        <v>3.24</v>
      </c>
      <c r="C5">
        <f>A5-B5</f>
        <v/>
      </c>
      <c r="D5">
        <f>C5/B5</f>
        <v/>
      </c>
      <c r="E5" t="inlineStr">
        <is>
          <t>Premium</t>
        </is>
      </c>
    </row>
    <row r="6">
      <c r="A6" t="n">
        <v>20</v>
      </c>
      <c r="B6" t="n">
        <v>3.24</v>
      </c>
      <c r="C6">
        <f>A6-B6</f>
        <v/>
      </c>
      <c r="D6">
        <f>C6/A6</f>
        <v/>
      </c>
      <c r="E6" t="inlineStr">
        <is>
          <t>Enterprise</t>
        </is>
      </c>
    </row>
    <row r="7">
      <c r="A7" s="6" t="inlineStr">
        <is>
          <t>TARGET GM: &gt;=60% AND &lt;=85%</t>
        </is>
      </c>
    </row>
    <row r="8">
      <c r="A8" s="6" t="inlineStr">
        <is>
          <t>Proposed GM: 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BREAKEVEN CONTAINMENT ANALYSIS</t>
        </is>
      </c>
    </row>
    <row r="3">
      <c r="A3" t="inlineStr">
        <is>
          <t>Formula: GM = (Price - Cost/Job) / Price &gt;= 60%</t>
        </is>
      </c>
    </row>
    <row r="4">
      <c r="A4" t="inlineStr">
        <is>
          <t>Solving for minimum containment: Cost/Job = Price x 0.4</t>
        </is>
      </c>
    </row>
    <row r="5">
      <c r="A5" t="inlineStr">
        <is>
          <t>At Price=$12: Max Cost/Job = $4.80</t>
        </is>
      </c>
    </row>
    <row r="7">
      <c r="A7" s="3" t="inlineStr">
        <is>
          <t>SUCCESS RATE IMPACT ON GM</t>
        </is>
      </c>
    </row>
    <row r="9">
      <c r="A9" s="2" t="inlineStr">
        <is>
          <t>Success Rate</t>
        </is>
      </c>
      <c r="B9" s="2" t="inlineStr">
        <is>
          <t>Jobs Completed</t>
        </is>
      </c>
      <c r="C9" s="2" t="inlineStr">
        <is>
          <t>Effective Cost/Job</t>
        </is>
      </c>
      <c r="D9" s="2" t="inlineStr">
        <is>
          <t>Price</t>
        </is>
      </c>
      <c r="E9" s="2" t="inlineStr">
        <is>
          <t>GM %</t>
        </is>
      </c>
      <c r="F9" s="2" t="inlineStr">
        <is>
          <t>GM &gt;=60%?</t>
        </is>
      </c>
    </row>
    <row r="10">
      <c r="A10" t="inlineStr">
        <is>
          <t>50%</t>
        </is>
      </c>
      <c r="B10">
        <f>500*0.5</f>
        <v/>
      </c>
      <c r="C10">
        <f>1230/(500*0.5)</f>
        <v/>
      </c>
      <c r="D10" t="n">
        <v>12</v>
      </c>
      <c r="E10">
        <f>(D9-C9)/D9</f>
        <v/>
      </c>
      <c r="F10">
        <f>IF(E9&gt;=0.6,"YES","NO")</f>
        <v/>
      </c>
    </row>
    <row r="11">
      <c r="A11" t="inlineStr">
        <is>
          <t>60%</t>
        </is>
      </c>
      <c r="B11">
        <f>500*0.6</f>
        <v/>
      </c>
      <c r="C11">
        <f>1230/(500*0.6)</f>
        <v/>
      </c>
      <c r="D11" t="n">
        <v>12</v>
      </c>
      <c r="E11">
        <f>(D10-C10)/D10</f>
        <v/>
      </c>
      <c r="F11">
        <f>IF(E10&gt;=0.6,"YES","NO")</f>
        <v/>
      </c>
    </row>
    <row r="12">
      <c r="A12" t="inlineStr">
        <is>
          <t>70%</t>
        </is>
      </c>
      <c r="B12">
        <f>500*0.7</f>
        <v/>
      </c>
      <c r="C12">
        <f>1230/(500*0.7)</f>
        <v/>
      </c>
      <c r="D12" t="n">
        <v>12</v>
      </c>
      <c r="E12">
        <f>(D11-C11)/D11</f>
        <v/>
      </c>
      <c r="F12">
        <f>IF(E11&gt;=0.6,"YES","NO")</f>
        <v/>
      </c>
    </row>
    <row r="13">
      <c r="A13" t="inlineStr">
        <is>
          <t>80%</t>
        </is>
      </c>
      <c r="B13">
        <f>500*0.8</f>
        <v/>
      </c>
      <c r="C13">
        <f>1230/(500*0.8)</f>
        <v/>
      </c>
      <c r="D13" t="n">
        <v>12</v>
      </c>
      <c r="E13">
        <f>(D12-C12)/D12</f>
        <v/>
      </c>
      <c r="F13">
        <f>IF(E12&gt;=0.6,"YES","NO")</f>
        <v/>
      </c>
    </row>
    <row r="14">
      <c r="A14" t="inlineStr">
        <is>
          <t>90%</t>
        </is>
      </c>
      <c r="B14">
        <f>500*0.9</f>
        <v/>
      </c>
      <c r="C14">
        <f>1230/(500*0.9)</f>
        <v/>
      </c>
      <c r="D14" t="n">
        <v>12</v>
      </c>
      <c r="E14">
        <f>(D13-C13)/D13</f>
        <v/>
      </c>
      <c r="F14">
        <f>IF(E13&gt;=0.6,"YES","NO")</f>
        <v/>
      </c>
    </row>
    <row r="15">
      <c r="A15" s="3" t="inlineStr">
        <is>
          <t>CONTAINMENT BREAK-EVEN POINT</t>
        </is>
      </c>
    </row>
    <row r="16">
      <c r="A16" t="inlineStr">
        <is>
          <t>Minimum containment for GM&gt;=60%: 60%</t>
        </is>
      </c>
    </row>
    <row r="17">
      <c r="A17" t="inlineStr">
        <is>
          <t>Current containment (eval): 76%</t>
        </is>
      </c>
    </row>
    <row r="18">
      <c r="A18" t="inlineStr">
        <is>
          <t>Buffer: 16 percentage 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1" t="inlineStr">
        <is>
          <t>CONTAINMENT &amp; VALUE METRIC</t>
        </is>
      </c>
    </row>
    <row r="3">
      <c r="A3" s="3" t="inlineStr">
        <is>
          <t>VALUE METRIC SELECTION</t>
        </is>
      </c>
    </row>
    <row r="4">
      <c r="A4" t="inlineStr">
        <is>
          <t>Metric: HYBRID</t>
        </is>
      </c>
    </row>
    <row r="5">
      <c r="A5" t="inlineStr">
        <is>
          <t>Base: $12/seat/month</t>
        </is>
      </c>
    </row>
    <row r="6">
      <c r="A6" t="inlineStr">
        <is>
          <t>Usage: $0.50/PR reviewed</t>
        </is>
      </c>
    </row>
    <row r="8">
      <c r="A8" s="3" t="inlineStr">
        <is>
          <t>ATTRIBUTION MATRIX</t>
        </is>
      </c>
    </row>
    <row r="9">
      <c r="A9" s="2" t="inlineStr">
        <is>
          <t>Autonomy</t>
        </is>
      </c>
      <c r="B9" s="2" t="inlineStr">
        <is>
          <t>Attribution</t>
        </is>
      </c>
      <c r="C9" s="2" t="inlineStr">
        <is>
          <t>Recommended Metric</t>
        </is>
      </c>
      <c r="D9" s="2" t="inlineStr">
        <is>
          <t>Status</t>
        </is>
      </c>
    </row>
    <row r="10">
      <c r="A10" t="inlineStr">
        <is>
          <t>Low</t>
        </is>
      </c>
      <c r="B10" t="inlineStr">
        <is>
          <t>Low</t>
        </is>
      </c>
      <c r="C10" t="inlineStr">
        <is>
          <t>SEAT</t>
        </is>
      </c>
      <c r="D10" t="inlineStr">
        <is>
          <t>N/A</t>
        </is>
      </c>
    </row>
    <row r="11">
      <c r="A11" t="inlineStr">
        <is>
          <t>Low</t>
        </is>
      </c>
      <c r="B11" t="inlineStr">
        <is>
          <t>High</t>
        </is>
      </c>
      <c r="C11" t="inlineStr">
        <is>
          <t>HYBRID</t>
        </is>
      </c>
      <c r="D11" t="inlineStr">
        <is>
          <t>N/A</t>
        </is>
      </c>
    </row>
    <row r="12">
      <c r="A12" t="inlineStr">
        <is>
          <t>High</t>
        </is>
      </c>
      <c r="B12" t="inlineStr">
        <is>
          <t>Low</t>
        </is>
      </c>
      <c r="C12" t="inlineStr">
        <is>
          <t>USAGE</t>
        </is>
      </c>
      <c r="D12" t="inlineStr">
        <is>
          <t>Current</t>
        </is>
      </c>
    </row>
    <row r="13">
      <c r="A13" t="inlineStr">
        <is>
          <t>High</t>
        </is>
      </c>
      <c r="B13" t="inlineStr">
        <is>
          <t>High</t>
        </is>
      </c>
      <c r="C13" t="inlineStr">
        <is>
          <t>OUTCOME</t>
        </is>
      </c>
      <c r="D13" t="inlineStr">
        <is>
          <t>Too risky</t>
        </is>
      </c>
    </row>
    <row r="14">
      <c r="A14" s="7" t="inlineStr">
        <is>
          <t>HIGH AUTONOMY (70%) + LOW ATTRIBUTION (no control group)</t>
        </is>
      </c>
    </row>
    <row r="15">
      <c r="A15" s="8">
        <f>&gt; HYBRID selected (USAGE-based billing)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2026-08-27T05:26:49Z</dcterms:created>
  <dcterms:modified xsi:type="dcterms:W3CDTF">2026-08-27T05:26:49Z</dcterms:modified>
</cp:coreProperties>
</file>